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brmcom-my.sharepoint.com/personal/andres_prieto_clbrm_com/Documents/Team Management/"/>
    </mc:Choice>
  </mc:AlternateContent>
  <xr:revisionPtr revIDLastSave="0" documentId="8_{F6A631F7-1AD7-41E0-A0E2-51BEB577BD9A}" xr6:coauthVersionLast="47" xr6:coauthVersionMax="47" xr10:uidLastSave="{00000000-0000-0000-0000-000000000000}"/>
  <bookViews>
    <workbookView xWindow="26220" yWindow="870" windowWidth="28860" windowHeight="23280" activeTab="1" xr2:uid="{7A0673F0-FCE4-42F0-A628-C911CBB379CE}"/>
  </bookViews>
  <sheets>
    <sheet name="Commitment Tracker" sheetId="1" r:id="rId1"/>
    <sheet name="Upcoming Capital Calls" sheetId="2" r:id="rId2"/>
    <sheet name="Executed Capital Calls" sheetId="3" r:id="rId3"/>
    <sheet name="Approved wire instru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<sst xmlns="http://schemas.openxmlformats.org/spreadsheetml/2006/main" count="223" uniqueCount="106">
  <si>
    <t>Fund Name</t>
  </si>
  <si>
    <t>Investor</t>
  </si>
  <si>
    <t xml:space="preserve">Fund Name </t>
  </si>
  <si>
    <t>Total Commitment</t>
  </si>
  <si>
    <t xml:space="preserve">Global Infra Partners </t>
  </si>
  <si>
    <t>GT Partners IV Equity</t>
  </si>
  <si>
    <t>Vantage Point Partners II</t>
  </si>
  <si>
    <t>Parallax Fund Solutions - Buyout I</t>
  </si>
  <si>
    <t>Parallax Fund Solutions - Buyout II</t>
  </si>
  <si>
    <t>GT Partners V Equity</t>
  </si>
  <si>
    <t xml:space="preserve">Tier One Aggregate Fund </t>
  </si>
  <si>
    <t>Pillar Holdings</t>
  </si>
  <si>
    <t>Lattice Portfolio Advisors - US</t>
  </si>
  <si>
    <t xml:space="preserve">Global Infra Partners - Energy </t>
  </si>
  <si>
    <t>GT Partners VI Equity</t>
  </si>
  <si>
    <t>Pillar Holdings II</t>
  </si>
  <si>
    <t>C - Fund Vintage 2010</t>
  </si>
  <si>
    <t>C - Fund Vintage 2015</t>
  </si>
  <si>
    <t>C- Fund Vintage 2019</t>
  </si>
  <si>
    <t>Remaining Open Commitment</t>
  </si>
  <si>
    <t>Total Funded  YTD</t>
  </si>
  <si>
    <t>As of 12.03.2026</t>
  </si>
  <si>
    <t xml:space="preserve">Amount </t>
  </si>
  <si>
    <t>Due date</t>
  </si>
  <si>
    <t>16.03.2026</t>
  </si>
  <si>
    <t>20.03.2026</t>
  </si>
  <si>
    <t>18.03.2026</t>
  </si>
  <si>
    <t xml:space="preserve">C- Funds - Commitment Tracker </t>
  </si>
  <si>
    <t>Capital Call Amount Paid</t>
  </si>
  <si>
    <t>Value Date</t>
  </si>
  <si>
    <t>14.05.2012</t>
  </si>
  <si>
    <t>22.11.2014</t>
  </si>
  <si>
    <t>05.01.2011</t>
  </si>
  <si>
    <t>12.08.2013</t>
  </si>
  <si>
    <t>04.03.2026</t>
  </si>
  <si>
    <t>18.06.2010</t>
  </si>
  <si>
    <t>11.02.2012</t>
  </si>
  <si>
    <t>09.03.2026</t>
  </si>
  <si>
    <t>20.01.2011</t>
  </si>
  <si>
    <t>14.12.2015</t>
  </si>
  <si>
    <t>05.03.2026</t>
  </si>
  <si>
    <t>08.01.2016</t>
  </si>
  <si>
    <t>22.09.2018</t>
  </si>
  <si>
    <t>05.05.2020</t>
  </si>
  <si>
    <t>19.11.2022</t>
  </si>
  <si>
    <t>02.03.2026</t>
  </si>
  <si>
    <t>15.03.2017</t>
  </si>
  <si>
    <t>12.07.2021</t>
  </si>
  <si>
    <t>01.03.2026</t>
  </si>
  <si>
    <t>25.01.2016</t>
  </si>
  <si>
    <t>28.02.2026</t>
  </si>
  <si>
    <t>10.10.2016</t>
  </si>
  <si>
    <t>30.04.2019</t>
  </si>
  <si>
    <t>15.02.2023</t>
  </si>
  <si>
    <t>03.03.2026</t>
  </si>
  <si>
    <t>07.01.2017</t>
  </si>
  <si>
    <t>04.12.2021</t>
  </si>
  <si>
    <t>10.03.2026</t>
  </si>
  <si>
    <t>14.07.2019</t>
  </si>
  <si>
    <t>09.02.2022</t>
  </si>
  <si>
    <t>11.03.2026</t>
  </si>
  <si>
    <t>20.01.2020</t>
  </si>
  <si>
    <t>25.02.2026</t>
  </si>
  <si>
    <t>15.02.2026</t>
  </si>
  <si>
    <t>Beneficiary Bank</t>
  </si>
  <si>
    <t>Swift/BIC</t>
  </si>
  <si>
    <t>IBAN / Account Number</t>
  </si>
  <si>
    <t>Currency</t>
  </si>
  <si>
    <t>Global Infra Partners</t>
  </si>
  <si>
    <t>Standard Chartered, London</t>
  </si>
  <si>
    <t>SCBLGB2L</t>
  </si>
  <si>
    <t>GB29 SCBL 4005 1599 8822 00</t>
  </si>
  <si>
    <t>EUR</t>
  </si>
  <si>
    <t>Deutsche Bank AG, Frankfurt</t>
  </si>
  <si>
    <t>DEUTDEFF</t>
  </si>
  <si>
    <t>DE89 3704 0044 0532 1198 01</t>
  </si>
  <si>
    <t>Barclays Bank PLC</t>
  </si>
  <si>
    <t>BARCGB22</t>
  </si>
  <si>
    <t>GB33 BARC 2020 1515 9988 77</t>
  </si>
  <si>
    <t>Parallax Fund Solutions - I</t>
  </si>
  <si>
    <t>HSBC Bank USA</t>
  </si>
  <si>
    <t>HSBCUS33</t>
  </si>
  <si>
    <t>US44 HSBC 9000 1234 5678 90</t>
  </si>
  <si>
    <t>Credit Suisse (UBS)</t>
  </si>
  <si>
    <t>CRESCHZZ</t>
  </si>
  <si>
    <t>CH12 0070 0111 2223 3344 5</t>
  </si>
  <si>
    <t>Tier One Aggregate Fund</t>
  </si>
  <si>
    <t>BNP Paribas, Paris</t>
  </si>
  <si>
    <t>BNPAFRPP</t>
  </si>
  <si>
    <t>FR76 3000 4000 0001 2345 6789</t>
  </si>
  <si>
    <t>JPMorgan Chase, NY</t>
  </si>
  <si>
    <t>CHASUS33</t>
  </si>
  <si>
    <t>US11 CHAS 4455 6677 8899 00</t>
  </si>
  <si>
    <t>Parallax Fund Solutions - II</t>
  </si>
  <si>
    <t>US44 HSBC 9000 8888 7777 66</t>
  </si>
  <si>
    <t>Lattice Portfolio Advisors</t>
  </si>
  <si>
    <t>Citibank N.A., London</t>
  </si>
  <si>
    <t>CITIEL2X</t>
  </si>
  <si>
    <t>GB11 CITI 6060 1122 3344 55</t>
  </si>
  <si>
    <t>GIP - Energy</t>
  </si>
  <si>
    <t>GB29 SCBL 4005 1599 0000 11</t>
  </si>
  <si>
    <t>DE89 3704 0044 9999 8888 77</t>
  </si>
  <si>
    <t>US11 CHAS 4455 0000 1111 22</t>
  </si>
  <si>
    <t>List of approved counterparty wire instructions</t>
  </si>
  <si>
    <t xml:space="preserve">C- Funds - Executed Capital Calls </t>
  </si>
  <si>
    <t xml:space="preserve">C- Funds - Upcoming Capital Calls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</si>
</sst>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EUR]\ #,##0_);[Red]\([$EUR]\ 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6" fontId="0" fillId="0" borderId="0" xfId="0" applyNumberFormat="1"/>
    <xf numFmtId="9" fontId="2" fillId="0" borderId="0" xfId="1" applyFon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A300-9D3D-4CEE-9B96-C9DD76D0D4AC}">
  <dimension ref="B1:F16"/>
  <sheetViews>
    <sheetView workbookViewId="0">
      <selection activeCell="F34" sqref="F34"/>
    </sheetView>
  </sheetViews>
  <sheetFormatPr defaultRowHeight="15" x14ac:dyDescent="0.25"/>
  <cols>
    <col min="1" max="1" width="2.28515625" customWidth="1"/>
    <col min="2" max="2" width="33.140625" customWidth="1"/>
    <col min="3" max="3" width="31.85546875" customWidth="1"/>
    <col min="4" max="4" width="33.85546875" customWidth="1"/>
    <col min="5" max="5" width="34" style="4" customWidth="1"/>
    <col min="6" max="6" width="32" customWidth="1"/>
    <col min="7" max="7" width="25.5703125" customWidth="1"/>
    <col min="8" max="8" width="41.28515625" customWidth="1"/>
    <col min="9" max="9" width="40.28515625" customWidth="1"/>
  </cols>
  <sheetData>
    <row r="1" spans="2:6" x14ac:dyDescent="0.25">
      <c r="B1" s="1" t="s">
        <v>27</v>
      </c>
    </row>
    <row r="2" spans="2:6" x14ac:dyDescent="0.25">
      <c r="B2" s="1" t="s">
        <v>21</v>
      </c>
    </row>
    <row r="4" spans="2:6" x14ac:dyDescent="0.25">
      <c r="B4" s="1" t="s">
        <v>1</v>
      </c>
      <c r="C4" s="1" t="s">
        <v>2</v>
      </c>
      <c r="D4" s="1" t="s">
        <v>3</v>
      </c>
      <c r="E4" s="1" t="s">
        <v>20</v>
      </c>
      <c r="F4" s="1" t="s">
        <v>19</v>
      </c>
    </row>
    <row r="5" spans="2:6" x14ac:dyDescent="0.25">
      <c r="B5" t="s">
        <v>16</v>
      </c>
      <c r="C5" t="s">
        <v>4</v>
      </c>
      <c r="D5" s="5">
        <v>10000000</v>
      </c>
      <c r="E5" s="5">
        <v>8199999.9999999991</v>
      </c>
      <c r="F5" s="2">
        <f>D5-E5</f>
        <v>1800000.0000000009</v>
      </c>
    </row>
    <row r="6" spans="2:6" x14ac:dyDescent="0.25">
      <c r="B6" t="s">
        <v>16</v>
      </c>
      <c r="C6" t="s">
        <v>5</v>
      </c>
      <c r="D6" s="5">
        <v>15000000</v>
      </c>
      <c r="E6" s="5">
        <v>11100000</v>
      </c>
      <c r="F6" s="2">
        <f>D6-E6</f>
        <v>3900000</v>
      </c>
    </row>
    <row r="7" spans="2:6" x14ac:dyDescent="0.25">
      <c r="B7" t="s">
        <v>16</v>
      </c>
      <c r="C7" t="s">
        <v>6</v>
      </c>
      <c r="D7" s="5">
        <v>5000000</v>
      </c>
      <c r="E7" s="5">
        <v>4450000</v>
      </c>
      <c r="F7" s="2">
        <f>D7-E7</f>
        <v>550000</v>
      </c>
    </row>
    <row r="8" spans="2:6" x14ac:dyDescent="0.25">
      <c r="B8" t="s">
        <v>16</v>
      </c>
      <c r="C8" t="s">
        <v>7</v>
      </c>
      <c r="D8" s="5">
        <v>5000000</v>
      </c>
      <c r="E8" s="5">
        <v>4000000</v>
      </c>
      <c r="F8" s="2">
        <f>D8-E8</f>
        <v>1000000</v>
      </c>
    </row>
    <row r="9" spans="2:6" x14ac:dyDescent="0.25">
      <c r="B9" t="s">
        <v>17</v>
      </c>
      <c r="C9" t="s">
        <v>9</v>
      </c>
      <c r="D9" s="5">
        <v>25000000</v>
      </c>
      <c r="E9" s="5">
        <v>13000000</v>
      </c>
      <c r="F9" s="2">
        <f>D9-E9</f>
        <v>12000000</v>
      </c>
    </row>
    <row r="10" spans="2:6" x14ac:dyDescent="0.25">
      <c r="B10" t="s">
        <v>17</v>
      </c>
      <c r="C10" t="s">
        <v>10</v>
      </c>
      <c r="D10" s="5">
        <v>25000000</v>
      </c>
      <c r="E10" s="5">
        <v>14000000.000000002</v>
      </c>
      <c r="F10" s="2">
        <f>D10-E10</f>
        <v>10999999.999999998</v>
      </c>
    </row>
    <row r="11" spans="2:6" x14ac:dyDescent="0.25">
      <c r="B11" t="s">
        <v>17</v>
      </c>
      <c r="C11" t="s">
        <v>11</v>
      </c>
      <c r="D11" s="5">
        <v>30000000</v>
      </c>
      <c r="E11" s="5">
        <v>12000000</v>
      </c>
      <c r="F11" s="2">
        <f>D11-E11</f>
        <v>18000000</v>
      </c>
    </row>
    <row r="12" spans="2:6" x14ac:dyDescent="0.25">
      <c r="B12" t="s">
        <v>17</v>
      </c>
      <c r="C12" t="s">
        <v>8</v>
      </c>
      <c r="D12" s="5">
        <v>30000000</v>
      </c>
      <c r="E12" s="5">
        <v>14700000</v>
      </c>
      <c r="F12" s="2">
        <f>D12-E12</f>
        <v>15300000</v>
      </c>
    </row>
    <row r="13" spans="2:6" x14ac:dyDescent="0.25">
      <c r="B13" t="s">
        <v>17</v>
      </c>
      <c r="C13" t="s">
        <v>12</v>
      </c>
      <c r="D13" s="5">
        <v>15000000</v>
      </c>
      <c r="E13" s="5">
        <v>9000000</v>
      </c>
      <c r="F13" s="2">
        <f>D13-E13</f>
        <v>6000000</v>
      </c>
    </row>
    <row r="14" spans="2:6" x14ac:dyDescent="0.25">
      <c r="B14" t="s">
        <v>18</v>
      </c>
      <c r="C14" t="s">
        <v>13</v>
      </c>
      <c r="D14" s="5">
        <v>35000000</v>
      </c>
      <c r="E14" s="5">
        <v>8750000</v>
      </c>
      <c r="F14" s="2">
        <f>D14-E14</f>
        <v>26250000</v>
      </c>
    </row>
    <row r="15" spans="2:6" x14ac:dyDescent="0.25">
      <c r="B15" t="s">
        <v>18</v>
      </c>
      <c r="C15" t="s">
        <v>14</v>
      </c>
      <c r="D15" s="5">
        <v>20000000</v>
      </c>
      <c r="E15" s="5">
        <v>5200000</v>
      </c>
      <c r="F15" s="2">
        <f>D15-E15</f>
        <v>14800000</v>
      </c>
    </row>
    <row r="16" spans="2:6" x14ac:dyDescent="0.25">
      <c r="B16" t="s">
        <v>18</v>
      </c>
      <c r="C16" t="s">
        <v>15</v>
      </c>
      <c r="D16" s="5">
        <v>40000000</v>
      </c>
      <c r="E16" s="5">
        <v>14000000</v>
      </c>
      <c r="F16" s="2">
        <f>D16-E16</f>
        <v>26000000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D8AB-8955-4ABB-AD78-9D714468FFE8}">
  <dimension ref="B1:E8"/>
  <sheetViews>
    <sheetView tabSelected="1" workbookViewId="0">
      <selection activeCell="E26" sqref="E26"/>
    </sheetView>
  </sheetViews>
  <sheetFormatPr defaultRowHeight="15" x14ac:dyDescent="0.25"/>
  <cols>
    <col min="1" max="1" width="2.85546875" customWidth="1"/>
    <col min="2" max="2" width="22.28515625" bestFit="1" customWidth="1"/>
    <col min="3" max="3" width="31.7109375" bestFit="1" customWidth="1"/>
    <col min="4" max="4" width="13.5703125" bestFit="1" customWidth="1"/>
    <col min="5" max="5" width="10.140625" bestFit="1" customWidth="1"/>
  </cols>
  <sheetData>
    <row r="1" spans="2:5" x14ac:dyDescent="0.25">
      <c r="B1" s="1" t="s">
        <v>105</v>
      </c>
    </row>
    <row r="2" spans="2:5" x14ac:dyDescent="0.25">
      <c r="B2" s="1" t="s">
        <v>21</v>
      </c>
    </row>
    <row r="3" spans="2:5" x14ac:dyDescent="0.25">
      <c r="B3" s="1"/>
      <c r="E3" s="4"/>
    </row>
    <row r="4" spans="2:5" x14ac:dyDescent="0.25">
      <c r="B4" s="1" t="s">
        <v>1</v>
      </c>
      <c r="C4" s="1" t="s">
        <v>2</v>
      </c>
      <c r="D4" s="1" t="s">
        <v>22</v>
      </c>
      <c r="E4" s="3" t="s">
        <v>23</v>
      </c>
    </row>
    <row r="5" spans="2:5" x14ac:dyDescent="0.25">
      <c r="B5" t="s">
        <v>16</v>
      </c>
      <c r="C5" t="s">
        <v>5</v>
      </c>
      <c r="D5" s="5">
        <v>5600000</v>
      </c>
      <c r="E5" t="s">
        <v>24</v>
      </c>
    </row>
    <row r="6" spans="2:5" x14ac:dyDescent="0.25">
      <c r="B6" t="s">
        <v>17</v>
      </c>
      <c r="C6" t="s">
        <v>9</v>
      </c>
      <c r="D6" s="5">
        <v>6000000</v>
      </c>
      <c r="E6" t="s">
        <v>24</v>
      </c>
    </row>
    <row r="7" spans="2:5" x14ac:dyDescent="0.25">
      <c r="B7" t="s">
        <v>17</v>
      </c>
      <c r="C7" t="s">
        <v>8</v>
      </c>
      <c r="D7" s="5">
        <v>9300000</v>
      </c>
      <c r="E7" t="s">
        <v>26</v>
      </c>
    </row>
    <row r="8" spans="2:5" x14ac:dyDescent="0.25">
      <c r="B8" t="s">
        <v>18</v>
      </c>
      <c r="C8" t="s">
        <v>14</v>
      </c>
      <c r="D8" s="5">
        <v>4800000</v>
      </c>
      <c r="E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5676-0C7E-4973-924E-BB55904DF620}">
  <dimension ref="B1:G38"/>
  <sheetViews>
    <sheetView workbookViewId="0">
      <selection activeCell="B1" sqref="B1:B2"/>
    </sheetView>
  </sheetViews>
  <sheetFormatPr defaultRowHeight="15" x14ac:dyDescent="0.25"/>
  <cols>
    <col min="1" max="1" width="3.42578125" customWidth="1"/>
    <col min="2" max="2" width="33.140625" customWidth="1"/>
    <col min="3" max="3" width="31.85546875" customWidth="1"/>
    <col min="4" max="4" width="33.85546875" customWidth="1"/>
    <col min="5" max="5" width="34" style="4" customWidth="1"/>
    <col min="6" max="6" width="16" customWidth="1"/>
    <col min="7" max="7" width="18" customWidth="1"/>
  </cols>
  <sheetData>
    <row r="1" spans="2:7" x14ac:dyDescent="0.25">
      <c r="B1" s="1" t="s">
        <v>104</v>
      </c>
    </row>
    <row r="2" spans="2:7" x14ac:dyDescent="0.25">
      <c r="B2" s="1" t="s">
        <v>21</v>
      </c>
    </row>
    <row r="4" spans="2:7" x14ac:dyDescent="0.25">
      <c r="B4" s="1" t="s">
        <v>1</v>
      </c>
      <c r="C4" s="1" t="s">
        <v>2</v>
      </c>
      <c r="D4" s="1" t="s">
        <v>28</v>
      </c>
      <c r="E4" s="1" t="s">
        <v>29</v>
      </c>
      <c r="G4" s="1"/>
    </row>
    <row r="5" spans="2:7" x14ac:dyDescent="0.25">
      <c r="B5" t="s">
        <v>16</v>
      </c>
      <c r="C5" t="s">
        <v>4</v>
      </c>
      <c r="D5" s="5">
        <v>4200000</v>
      </c>
      <c r="E5" t="s">
        <v>30</v>
      </c>
    </row>
    <row r="6" spans="2:7" x14ac:dyDescent="0.25">
      <c r="B6" t="s">
        <v>16</v>
      </c>
      <c r="C6" t="s">
        <v>4</v>
      </c>
      <c r="D6" s="5">
        <v>4000000</v>
      </c>
      <c r="E6" t="s">
        <v>31</v>
      </c>
    </row>
    <row r="7" spans="2:7" x14ac:dyDescent="0.25">
      <c r="B7" t="s">
        <v>16</v>
      </c>
      <c r="C7" t="s">
        <v>5</v>
      </c>
      <c r="D7" s="5">
        <v>1100000</v>
      </c>
      <c r="E7" s="4" t="s">
        <v>32</v>
      </c>
    </row>
    <row r="8" spans="2:7" x14ac:dyDescent="0.25">
      <c r="B8" t="s">
        <v>16</v>
      </c>
      <c r="C8" t="s">
        <v>5</v>
      </c>
      <c r="D8" s="5">
        <v>4000000</v>
      </c>
      <c r="E8" s="4" t="s">
        <v>33</v>
      </c>
    </row>
    <row r="9" spans="2:7" x14ac:dyDescent="0.25">
      <c r="B9" t="s">
        <v>16</v>
      </c>
      <c r="C9" t="s">
        <v>5</v>
      </c>
      <c r="D9" s="5">
        <v>6000000</v>
      </c>
      <c r="E9" s="4" t="s">
        <v>34</v>
      </c>
    </row>
    <row r="10" spans="2:7" x14ac:dyDescent="0.25">
      <c r="B10" t="s">
        <v>16</v>
      </c>
      <c r="C10" t="s">
        <v>6</v>
      </c>
      <c r="D10" s="5">
        <v>1780000</v>
      </c>
      <c r="E10" s="4" t="s">
        <v>35</v>
      </c>
    </row>
    <row r="11" spans="2:7" x14ac:dyDescent="0.25">
      <c r="B11" t="s">
        <v>16</v>
      </c>
      <c r="C11" t="s">
        <v>6</v>
      </c>
      <c r="D11" s="5">
        <v>1335000</v>
      </c>
      <c r="E11" s="4" t="s">
        <v>36</v>
      </c>
    </row>
    <row r="12" spans="2:7" x14ac:dyDescent="0.25">
      <c r="B12" t="s">
        <v>16</v>
      </c>
      <c r="C12" t="s">
        <v>6</v>
      </c>
      <c r="D12" s="5">
        <v>1335000</v>
      </c>
      <c r="E12" s="4" t="s">
        <v>37</v>
      </c>
    </row>
    <row r="13" spans="2:7" x14ac:dyDescent="0.25">
      <c r="B13" t="s">
        <v>16</v>
      </c>
      <c r="C13" t="s">
        <v>7</v>
      </c>
      <c r="D13" s="5">
        <v>800000</v>
      </c>
      <c r="E13" s="4" t="s">
        <v>38</v>
      </c>
    </row>
    <row r="14" spans="2:7" x14ac:dyDescent="0.25">
      <c r="B14" t="s">
        <v>16</v>
      </c>
      <c r="C14" t="s">
        <v>7</v>
      </c>
      <c r="D14" s="5">
        <v>1800000</v>
      </c>
      <c r="E14" s="4" t="s">
        <v>39</v>
      </c>
    </row>
    <row r="15" spans="2:7" x14ac:dyDescent="0.25">
      <c r="B15" t="s">
        <v>16</v>
      </c>
      <c r="C15" t="s">
        <v>7</v>
      </c>
      <c r="D15" s="5">
        <v>1400000</v>
      </c>
      <c r="E15" s="4" t="s">
        <v>40</v>
      </c>
    </row>
    <row r="16" spans="2:7" x14ac:dyDescent="0.25">
      <c r="B16" t="s">
        <v>17</v>
      </c>
      <c r="C16" t="s">
        <v>9</v>
      </c>
      <c r="D16" s="5">
        <v>1300000</v>
      </c>
      <c r="E16" s="4" t="s">
        <v>41</v>
      </c>
    </row>
    <row r="17" spans="2:5" x14ac:dyDescent="0.25">
      <c r="B17" t="s">
        <v>17</v>
      </c>
      <c r="C17" t="s">
        <v>9</v>
      </c>
      <c r="D17" s="5">
        <v>3250000</v>
      </c>
      <c r="E17" s="4" t="s">
        <v>42</v>
      </c>
    </row>
    <row r="18" spans="2:5" x14ac:dyDescent="0.25">
      <c r="B18" t="s">
        <v>17</v>
      </c>
      <c r="C18" t="s">
        <v>9</v>
      </c>
      <c r="D18" s="5">
        <v>3250000</v>
      </c>
      <c r="E18" s="4" t="s">
        <v>43</v>
      </c>
    </row>
    <row r="19" spans="2:5" x14ac:dyDescent="0.25">
      <c r="B19" t="s">
        <v>17</v>
      </c>
      <c r="C19" t="s">
        <v>9</v>
      </c>
      <c r="D19" s="5">
        <v>3250000</v>
      </c>
      <c r="E19" s="4" t="s">
        <v>44</v>
      </c>
    </row>
    <row r="20" spans="2:5" x14ac:dyDescent="0.25">
      <c r="B20" t="s">
        <v>17</v>
      </c>
      <c r="C20" t="s">
        <v>9</v>
      </c>
      <c r="D20" s="5">
        <v>1950000</v>
      </c>
      <c r="E20" s="4" t="s">
        <v>45</v>
      </c>
    </row>
    <row r="21" spans="2:5" x14ac:dyDescent="0.25">
      <c r="B21" t="s">
        <v>17</v>
      </c>
      <c r="C21" t="s">
        <v>10</v>
      </c>
      <c r="D21" s="5">
        <v>4760000.0000000009</v>
      </c>
      <c r="E21" s="4" t="s">
        <v>46</v>
      </c>
    </row>
    <row r="22" spans="2:5" x14ac:dyDescent="0.25">
      <c r="B22" t="s">
        <v>17</v>
      </c>
      <c r="C22" t="s">
        <v>10</v>
      </c>
      <c r="D22" s="5">
        <v>4760000.0000000009</v>
      </c>
      <c r="E22" s="4" t="s">
        <v>47</v>
      </c>
    </row>
    <row r="23" spans="2:5" x14ac:dyDescent="0.25">
      <c r="B23" t="s">
        <v>17</v>
      </c>
      <c r="C23" t="s">
        <v>10</v>
      </c>
      <c r="D23" s="5">
        <v>4479999.9999999991</v>
      </c>
      <c r="E23" s="4" t="s">
        <v>48</v>
      </c>
    </row>
    <row r="24" spans="2:5" x14ac:dyDescent="0.25">
      <c r="B24" t="s">
        <v>17</v>
      </c>
      <c r="C24" t="s">
        <v>11</v>
      </c>
      <c r="D24" s="5">
        <v>6000000</v>
      </c>
      <c r="E24" s="4" t="s">
        <v>49</v>
      </c>
    </row>
    <row r="25" spans="2:5" x14ac:dyDescent="0.25">
      <c r="B25" t="s">
        <v>17</v>
      </c>
      <c r="C25" t="s">
        <v>11</v>
      </c>
      <c r="D25" s="5">
        <v>6000000</v>
      </c>
      <c r="E25" s="4" t="s">
        <v>50</v>
      </c>
    </row>
    <row r="26" spans="2:5" x14ac:dyDescent="0.25">
      <c r="B26" t="s">
        <v>17</v>
      </c>
      <c r="C26" t="s">
        <v>8</v>
      </c>
      <c r="D26" s="5">
        <v>3675000</v>
      </c>
      <c r="E26" s="4" t="s">
        <v>51</v>
      </c>
    </row>
    <row r="27" spans="2:5" x14ac:dyDescent="0.25">
      <c r="B27" t="s">
        <v>17</v>
      </c>
      <c r="C27" t="s">
        <v>8</v>
      </c>
      <c r="D27" s="5">
        <v>3675000</v>
      </c>
      <c r="E27" s="4" t="s">
        <v>52</v>
      </c>
    </row>
    <row r="28" spans="2:5" x14ac:dyDescent="0.25">
      <c r="B28" t="s">
        <v>17</v>
      </c>
      <c r="C28" t="s">
        <v>8</v>
      </c>
      <c r="D28" s="5">
        <v>2940000</v>
      </c>
      <c r="E28" s="4" t="s">
        <v>53</v>
      </c>
    </row>
    <row r="29" spans="2:5" x14ac:dyDescent="0.25">
      <c r="B29" t="s">
        <v>17</v>
      </c>
      <c r="C29" t="s">
        <v>8</v>
      </c>
      <c r="D29" s="5">
        <v>4410000</v>
      </c>
      <c r="E29" s="4" t="s">
        <v>54</v>
      </c>
    </row>
    <row r="30" spans="2:5" x14ac:dyDescent="0.25">
      <c r="B30" t="s">
        <v>17</v>
      </c>
      <c r="C30" t="s">
        <v>12</v>
      </c>
      <c r="D30" s="5">
        <v>3000000</v>
      </c>
      <c r="E30" s="4" t="s">
        <v>55</v>
      </c>
    </row>
    <row r="31" spans="2:5" x14ac:dyDescent="0.25">
      <c r="B31" t="s">
        <v>17</v>
      </c>
      <c r="C31" t="s">
        <v>12</v>
      </c>
      <c r="D31" s="5">
        <v>3000000</v>
      </c>
      <c r="E31" s="4" t="s">
        <v>56</v>
      </c>
    </row>
    <row r="32" spans="2:5" x14ac:dyDescent="0.25">
      <c r="B32" t="s">
        <v>17</v>
      </c>
      <c r="C32" t="s">
        <v>12</v>
      </c>
      <c r="D32" s="5">
        <v>3000000</v>
      </c>
      <c r="E32" s="4" t="s">
        <v>57</v>
      </c>
    </row>
    <row r="33" spans="2:5" x14ac:dyDescent="0.25">
      <c r="B33" t="s">
        <v>18</v>
      </c>
      <c r="C33" t="s">
        <v>13</v>
      </c>
      <c r="D33" s="5">
        <v>1750000</v>
      </c>
      <c r="E33" s="4" t="s">
        <v>58</v>
      </c>
    </row>
    <row r="34" spans="2:5" x14ac:dyDescent="0.25">
      <c r="B34" t="s">
        <v>18</v>
      </c>
      <c r="C34" t="s">
        <v>13</v>
      </c>
      <c r="D34" s="5">
        <v>4500000</v>
      </c>
      <c r="E34" s="4" t="s">
        <v>59</v>
      </c>
    </row>
    <row r="35" spans="2:5" x14ac:dyDescent="0.25">
      <c r="B35" t="s">
        <v>18</v>
      </c>
      <c r="C35" t="s">
        <v>13</v>
      </c>
      <c r="D35" s="5">
        <v>2500000</v>
      </c>
      <c r="E35" s="4" t="s">
        <v>60</v>
      </c>
    </row>
    <row r="36" spans="2:5" x14ac:dyDescent="0.25">
      <c r="B36" t="s">
        <v>18</v>
      </c>
      <c r="C36" t="s">
        <v>14</v>
      </c>
      <c r="D36" s="5">
        <v>1040000</v>
      </c>
      <c r="E36" s="4" t="s">
        <v>61</v>
      </c>
    </row>
    <row r="37" spans="2:5" x14ac:dyDescent="0.25">
      <c r="B37" t="s">
        <v>18</v>
      </c>
      <c r="C37" t="s">
        <v>14</v>
      </c>
      <c r="D37" s="5">
        <v>4160000</v>
      </c>
      <c r="E37" s="4" t="s">
        <v>62</v>
      </c>
    </row>
    <row r="38" spans="2:5" x14ac:dyDescent="0.25">
      <c r="B38" t="s">
        <v>18</v>
      </c>
      <c r="C38" t="s">
        <v>15</v>
      </c>
      <c r="D38" s="5">
        <v>14000000</v>
      </c>
      <c r="E38" s="4" t="s">
        <v>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0691-9837-414D-BE4F-23EC1A851F00}">
  <dimension ref="B1:F15"/>
  <sheetViews>
    <sheetView workbookViewId="0">
      <selection activeCell="L31" sqref="L31:L32"/>
    </sheetView>
  </sheetViews>
  <sheetFormatPr defaultRowHeight="15" x14ac:dyDescent="0.25"/>
  <cols>
    <col min="1" max="1" width="2.7109375" customWidth="1"/>
    <col min="2" max="2" width="27.42578125" customWidth="1"/>
    <col min="3" max="3" width="26.42578125" bestFit="1" customWidth="1"/>
    <col min="4" max="4" width="13.28515625" customWidth="1"/>
    <col min="5" max="5" width="27.85546875" bestFit="1" customWidth="1"/>
    <col min="6" max="6" width="9" customWidth="1"/>
  </cols>
  <sheetData>
    <row r="1" spans="2:6" x14ac:dyDescent="0.25">
      <c r="B1" s="1" t="s">
        <v>103</v>
      </c>
    </row>
    <row r="3" spans="2:6" x14ac:dyDescent="0.25">
      <c r="B3" s="1" t="s">
        <v>0</v>
      </c>
      <c r="C3" s="1" t="s">
        <v>64</v>
      </c>
      <c r="D3" s="1" t="s">
        <v>65</v>
      </c>
      <c r="E3" s="1" t="s">
        <v>66</v>
      </c>
      <c r="F3" s="1" t="s">
        <v>67</v>
      </c>
    </row>
    <row r="4" spans="2:6" x14ac:dyDescent="0.25">
      <c r="B4" t="s">
        <v>68</v>
      </c>
      <c r="C4" t="s">
        <v>69</v>
      </c>
      <c r="D4" t="s">
        <v>70</v>
      </c>
      <c r="E4" t="s">
        <v>71</v>
      </c>
      <c r="F4" t="s">
        <v>72</v>
      </c>
    </row>
    <row r="5" spans="2:6" x14ac:dyDescent="0.25">
      <c r="B5" t="s">
        <v>5</v>
      </c>
      <c r="C5" t="s">
        <v>73</v>
      </c>
      <c r="D5" t="s">
        <v>74</v>
      </c>
      <c r="E5" t="s">
        <v>75</v>
      </c>
      <c r="F5" t="s">
        <v>72</v>
      </c>
    </row>
    <row r="6" spans="2:6" x14ac:dyDescent="0.25">
      <c r="B6" t="s">
        <v>6</v>
      </c>
      <c r="C6" t="s">
        <v>76</v>
      </c>
      <c r="D6" t="s">
        <v>77</v>
      </c>
      <c r="E6" t="s">
        <v>78</v>
      </c>
      <c r="F6" t="s">
        <v>72</v>
      </c>
    </row>
    <row r="7" spans="2:6" x14ac:dyDescent="0.25">
      <c r="B7" t="s">
        <v>79</v>
      </c>
      <c r="C7" t="s">
        <v>80</v>
      </c>
      <c r="D7" t="s">
        <v>81</v>
      </c>
      <c r="E7" t="s">
        <v>82</v>
      </c>
      <c r="F7" t="s">
        <v>72</v>
      </c>
    </row>
    <row r="8" spans="2:6" x14ac:dyDescent="0.25">
      <c r="B8" t="s">
        <v>9</v>
      </c>
      <c r="C8" t="s">
        <v>83</v>
      </c>
      <c r="D8" t="s">
        <v>84</v>
      </c>
      <c r="E8" t="s">
        <v>85</v>
      </c>
      <c r="F8" t="s">
        <v>72</v>
      </c>
    </row>
    <row r="9" spans="2:6" x14ac:dyDescent="0.25">
      <c r="B9" t="s">
        <v>86</v>
      </c>
      <c r="C9" t="s">
        <v>87</v>
      </c>
      <c r="D9" t="s">
        <v>88</v>
      </c>
      <c r="E9" t="s">
        <v>89</v>
      </c>
      <c r="F9" t="s">
        <v>72</v>
      </c>
    </row>
    <row r="10" spans="2:6" x14ac:dyDescent="0.25">
      <c r="B10" t="s">
        <v>11</v>
      </c>
      <c r="C10" t="s">
        <v>90</v>
      </c>
      <c r="D10" t="s">
        <v>91</v>
      </c>
      <c r="E10" t="s">
        <v>92</v>
      </c>
      <c r="F10" t="s">
        <v>72</v>
      </c>
    </row>
    <row r="11" spans="2:6" x14ac:dyDescent="0.25">
      <c r="B11" t="s">
        <v>93</v>
      </c>
      <c r="C11" t="s">
        <v>80</v>
      </c>
      <c r="D11" t="s">
        <v>81</v>
      </c>
      <c r="E11" t="s">
        <v>94</v>
      </c>
      <c r="F11" t="s">
        <v>72</v>
      </c>
    </row>
    <row r="12" spans="2:6" x14ac:dyDescent="0.25">
      <c r="B12" t="s">
        <v>95</v>
      </c>
      <c r="C12" t="s">
        <v>96</v>
      </c>
      <c r="D12" t="s">
        <v>97</v>
      </c>
      <c r="E12" t="s">
        <v>98</v>
      </c>
      <c r="F12" t="s">
        <v>72</v>
      </c>
    </row>
    <row r="13" spans="2:6" x14ac:dyDescent="0.25">
      <c r="B13" t="s">
        <v>99</v>
      </c>
      <c r="C13" t="s">
        <v>69</v>
      </c>
      <c r="D13" t="s">
        <v>70</v>
      </c>
      <c r="E13" t="s">
        <v>100</v>
      </c>
      <c r="F13" t="s">
        <v>72</v>
      </c>
    </row>
    <row r="14" spans="2:6" x14ac:dyDescent="0.25">
      <c r="B14" t="s">
        <v>14</v>
      </c>
      <c r="C14" t="s">
        <v>73</v>
      </c>
      <c r="D14" t="s">
        <v>74</v>
      </c>
      <c r="E14" t="s">
        <v>101</v>
      </c>
      <c r="F14" t="s">
        <v>72</v>
      </c>
    </row>
    <row r="15" spans="2:6" x14ac:dyDescent="0.25">
      <c r="B15" t="s">
        <v>15</v>
      </c>
      <c r="C15" t="s">
        <v>90</v>
      </c>
      <c r="D15" t="s">
        <v>91</v>
      </c>
      <c r="E15" t="s">
        <v>102</v>
      </c>
      <c r="F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Commitment Tracker</vt:lpstr>
      <vt:lpstr>Upcoming Capital Calls</vt:lpstr>
      <vt:lpstr>Executed Capital Calls</vt:lpstr>
      <vt:lpstr>Approved wire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Prieto</dc:creator>
  <cp:lastModifiedBy>Andres Prieto</cp:lastModifiedBy>
  <dcterms:created xsi:type="dcterms:W3CDTF">2026-03-12T09:42:28Z</dcterms:created>
  <dcterms:modified xsi:type="dcterms:W3CDTF">2026-03-12T16:01:14Z</dcterms:modified>
</cp:coreProperties>
</file>